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hidePivotFieldList="1"/>
  <mc:AlternateContent xmlns:mc="http://schemas.openxmlformats.org/markup-compatibility/2006">
    <mc:Choice Requires="x15">
      <x15ac:absPath xmlns:x15ac="http://schemas.microsoft.com/office/spreadsheetml/2010/11/ac" url="C:\Users\flavi.PC-84.000\Downloads\"/>
    </mc:Choice>
  </mc:AlternateContent>
  <xr:revisionPtr revIDLastSave="0" documentId="13_ncr:1_{73AD358B-2989-4518-9F1E-4904ADDC1D81}" xr6:coauthVersionLast="47" xr6:coauthVersionMax="47" xr10:uidLastSave="{00000000-0000-0000-0000-000000000000}"/>
  <bookViews>
    <workbookView xWindow="-120" yWindow="-120" windowWidth="20730" windowHeight="11040" tabRatio="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5" i="3" l="1"/>
  <c r="E36" i="3"/>
</calcChain>
</file>

<file path=xl/sharedStrings.xml><?xml version="1.0" encoding="utf-8"?>
<sst xmlns="http://schemas.openxmlformats.org/spreadsheetml/2006/main" count="2022" uniqueCount="324">
  <si>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</si>
  <si>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</si>
  <si>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</si>
  <si>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</si>
  <si>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</si>
  <si>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</si>
  <si>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</si>
  <si>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</si>
  <si>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</si>
  <si>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</si>
  <si>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</si>
  <si>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</si>
  <si>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</si>
  <si>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</si>
  <si>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</si>
  <si>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</si>
  <si>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</si>
  <si>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</si>
  <si>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</si>
  <si>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</si>
  <si>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</si>
  <si>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</si>
  <si>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</si>
  <si>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</si>
  <si>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</si>
  <si>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</si>
  <si>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</si>
  <si>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</si>
  <si>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</si>
  <si>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</si>
  <si>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</si>
  <si>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</si>
  <si>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</si>
  <si>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</si>
  <si>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</si>
  <si>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</si>
  <si>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</si>
  <si>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</si>
  <si>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</si>
  <si>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</si>
  <si>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</si>
  <si>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</si>
  <si>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</si>
  <si>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</si>
  <si>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</si>
  <si>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</si>
  <si>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</si>
  <si>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</si>
  <si>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</si>
  <si>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</si>
  <si>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</si>
  <si>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</si>
  <si>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</si>
  <si>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</si>
  <si>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</si>
  <si>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</si>
  <si>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</si>
  <si>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</si>
  <si>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</si>
  <si>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</si>
  <si>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</si>
  <si>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</si>
  <si>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</si>
  <si>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</si>
  <si>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</si>
  <si>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</si>
  <si>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</si>
  <si>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</si>
  <si>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</si>
  <si>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</si>
  <si>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</si>
  <si>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</si>
  <si>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</si>
  <si>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</si>
  <si>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</si>
  <si>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</si>
  <si>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</si>
  <si>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</si>
  <si>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</si>
  <si>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</si>
  <si>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</si>
  <si>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</si>
  <si>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</si>
  <si>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</si>
  <si>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</si>
  <si>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</si>
  <si>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</si>
  <si>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</si>
  <si>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</si>
  <si>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</si>
  <si>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</si>
  <si>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</si>
  <si>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</si>
  <si>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</si>
  <si>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</si>
  <si>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</si>
  <si>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</si>
  <si>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</si>
  <si>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</si>
  <si>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</si>
  <si>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</si>
  <si>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</si>
  <si>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</si>
  <si>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</si>
  <si>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</si>
  <si>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</si>
  <si>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</si>
  <si>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</si>
  <si>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</si>
  <si>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</si>
  <si>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</si>
  <si>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</si>
  <si>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</si>
  <si>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</si>
  <si>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</si>
  <si>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</si>
  <si>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</si>
  <si>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</si>
  <si>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</si>
  <si>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</si>
  <si>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</si>
  <si>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</si>
  <si>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</si>
  <si>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</si>
  <si>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</si>
  <si>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</si>
  <si>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</si>
  <si>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</si>
  <si>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</si>
  <si>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</si>
  <si>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</si>
  <si>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</si>
  <si>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</si>
  <si>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</si>
  <si>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</si>
  <si>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</si>
  <si>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</si>
  <si>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</si>
  <si>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</si>
  <si>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</si>
  <si>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</si>
  <si>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</si>
  <si>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</si>
  <si>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</si>
  <si>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</si>
  <si>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</si>
  <si>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</si>
  <si>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</si>
  <si>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</si>
  <si>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</si>
  <si>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</si>
  <si>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</si>
  <si>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</si>
  <si>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</si>
  <si>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</si>
  <si>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</si>
  <si>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</si>
  <si>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</si>
  <si>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</si>
  <si>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</si>
  <si>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</si>
  <si>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</si>
  <si>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</si>
  <si>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</si>
  <si>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</si>
  <si>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</si>
  <si>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</si>
  <si>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</si>
  <si>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</si>
  <si>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</si>
  <si>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</si>
  <si>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</si>
  <si>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</si>
  <si>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</si>
  <si>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</si>
  <si>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</si>
  <si>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</si>
  <si>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</si>
  <si>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</si>
  <si>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</si>
  <si>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</si>
  <si>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</si>
  <si>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</si>
  <si>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</si>
  <si>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</si>
  <si>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</si>
  <si>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</si>
  <si>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</si>
  <si>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</si>
  <si>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</si>
  <si>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</si>
  <si>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</si>
  <si>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</si>
  <si>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</si>
  <si>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</si>
  <si>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</si>
  <si>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</si>
  <si>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</si>
  <si>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</si>
  <si>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</si>
  <si>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</si>
  <si>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</si>
  <si>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</si>
  <si>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</si>
  <si>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</si>
  <si>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</si>
  <si>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</si>
  <si>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</si>
  <si>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</si>
  <si>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</si>
  <si>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</si>
  <si>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</si>
  <si>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</si>
  <si>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</si>
  <si>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</si>
  <si>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</si>
  <si>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</si>
  <si>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</si>
  <si>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</si>
  <si>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</si>
  <si>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</si>
  <si>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</si>
  <si>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</si>
  <si>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</si>
  <si>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</si>
  <si>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</si>
  <si>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</si>
  <si>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</si>
  <si>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</si>
  <si>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</si>
  <si>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</si>
  <si>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</si>
  <si>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</si>
  <si>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</si>
  <si>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</si>
  <si>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</si>
  <si>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</si>
  <si>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</si>
  <si>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</si>
  <si>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</si>
  <si>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</si>
  <si>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</si>
  <si>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</si>
  <si>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</si>
  <si>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</si>
  <si>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</si>
  <si>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</si>
  <si>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</si>
  <si>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</si>
  <si>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</si>
  <si>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</si>
  <si>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</si>
  <si>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</si>
  <si>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</si>
  <si>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</si>
  <si>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</si>
  <si>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</si>
  <si>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</si>
  <si>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</si>
  <si>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</si>
  <si>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</si>
  <si>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</si>
  <si>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</si>
  <si>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</si>
  <si>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</si>
  <si>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</si>
  <si>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</si>
  <si>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</si>
  <si>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</si>
  <si>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</si>
  <si>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</si>
  <si>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</si>
  <si>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</si>
  <si>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</si>
  <si>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</si>
  <si>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</si>
  <si>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</si>
  <si>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</si>
  <si>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</si>
  <si>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</si>
  <si>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</si>
  <si>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</si>
  <si>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</si>
  <si>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</si>
  <si>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</si>
  <si>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</si>
  <si>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</si>
  <si>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</si>
  <si>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</si>
  <si>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</si>
  <si>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</si>
  <si>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</si>
  <si>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</si>
  <si>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</si>
  <si>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</si>
  <si>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</si>
  <si>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</si>
  <si>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</si>
  <si>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</si>
  <si>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</si>
  <si>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</si>
  <si>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</si>
  <si>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</si>
  <si>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</si>
  <si>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</si>
  <si>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</si>
  <si>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</si>
  <si>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</si>
  <si>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</si>
  <si>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Rótulos de Linha</t>
  </si>
  <si>
    <t>Total Geral</t>
  </si>
  <si>
    <t>Soma de Minecraft Season Pass Price</t>
  </si>
  <si>
    <t>EA Play Season Pass</t>
  </si>
  <si>
    <t>EA Play Season Pass
Price</t>
  </si>
  <si>
    <t>-</t>
  </si>
  <si>
    <t>Subscription Price</t>
  </si>
  <si>
    <t>Soma de EA Play Season Pass</t>
  </si>
  <si>
    <t>É uma pergunta de negócio respondida através de alguma análise de dado específica</t>
  </si>
  <si>
    <r>
      <t xml:space="preserve">Pergunta de Negócio 1 - Qual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 (contendo todas as assinaturas agregadas)</t>
    </r>
  </si>
  <si>
    <t>Soma de Total Value</t>
  </si>
  <si>
    <r>
      <t>Pergunta de Negócio 2 - Qual Faturamento</t>
    </r>
    <r>
      <rPr>
        <b/>
        <sz val="11"/>
        <color theme="1"/>
        <rFont val="Aptos Narrow"/>
        <family val="2"/>
        <scheme val="minor"/>
      </rPr>
      <t xml:space="preserve"> Total de vendas</t>
    </r>
    <r>
      <rPr>
        <sz val="11"/>
        <color theme="1"/>
        <rFont val="Aptos Narrow"/>
        <family val="2"/>
        <scheme val="minor"/>
      </rPr>
      <t xml:space="preserve"> de</t>
    </r>
    <r>
      <rPr>
        <b/>
        <sz val="11"/>
        <color theme="1"/>
        <rFont val="Aptos Narrow"/>
        <family val="2"/>
        <scheme val="minor"/>
      </rPr>
      <t xml:space="preserve"> planos anuais</t>
    </r>
    <r>
      <rPr>
        <sz val="11"/>
        <color theme="1"/>
        <rFont val="Aptos Narrow"/>
        <family val="2"/>
        <scheme val="minor"/>
      </rPr>
      <t xml:space="preserve"> , separado por auto renovação não é por auto renovação</t>
    </r>
  </si>
  <si>
    <t>Pergunta Negócio 3 - Total de Vendas de Assinaturas do EA Play</t>
  </si>
  <si>
    <t>Pergunta Negócio 4 - Total de Vendas de Assinaturas do Minecraft Season Pass</t>
  </si>
  <si>
    <t xml:space="preserve"> XBOX GAME PASS SUBSCRIPTIONS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</si>
</sst>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7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5"/>
      <color theme="3"/>
      <name val="Segoe UI"/>
      <family val="2"/>
    </font>
    <font>
      <b/>
      <sz val="15"/>
      <color rgb="FF22C55E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0" fontId="4" fillId="8" borderId="0" applyNumberFormat="0" applyBorder="0" applyAlignment="0" applyProtection="0"/>
  </cellStyleXfs>
  <cellXfs count="21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44" fontId="0" fillId="0" borderId="0" xfId="0" applyNumberFormat="1"/>
    <xf numFmtId="0" fontId="0" fillId="0" borderId="0" xfId="0" applyAlignment="1">
      <alignment horizontal="left"/>
    </xf>
    <xf numFmtId="0" fontId="5" fillId="0" borderId="2" xfId="1" applyFont="1" applyBorder="1"/>
    <xf numFmtId="44" fontId="0" fillId="0" borderId="0" xfId="2" applyFont="1"/>
    <xf numFmtId="0" fontId="0" fillId="0" borderId="2" xfId="0" applyBorder="1"/>
    <xf numFmtId="0" fontId="6" fillId="0" borderId="2" xfId="1" applyFont="1" applyBorder="1" applyAlignment="1">
      <alignment horizontal="left" indent="7"/>
    </xf>
    <xf numFmtId="0" fontId="4" fillId="8" borderId="0" xfId="3" applyAlignment="1">
      <alignment horizontal="center"/>
    </xf>
    <xf numFmtId="0" fontId="0" fillId="0" borderId="0" xfId="0" applyNumberFormat="1"/>
  </cellXfs>
  <cellStyles count="4">
    <cellStyle name="Moeda" xfId="2" builtinId="4"/>
    <cellStyle name="Neutro" xfId="3" builtinId="28"/>
    <cellStyle name="Normal" xfId="0" builtinId="0"/>
    <cellStyle name="Título 1" xfId="1" builtinId="16"/>
  </cellStyles>
  <dxfs count="16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 xr9:uid="{7812454B-9EBD-4F72-9068-FA94BE9FF08F}">
      <tableStyleElement type="wholeTable" dxfId="15"/>
      <tableStyleElement type="headerRow" dxfId="14"/>
    </tableStyle>
  </tableStyles>
  <colors>
    <mruColors>
      <color rgb="FF22C55E"/>
      <color rgb="FF5BF6A8"/>
      <color rgb="FFE8E6E9"/>
      <color rgb="FF2AE6B1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[0120950e-64c8-4092-a257-ba22ed198c69 (1).xlsx]C̳álculos!tbl_annual_total</c:name>
    <c:fmtId val="4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C̳álculos!$B$12:$B$14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C̳álculos!$C$12:$C$14</c:f>
              <c:numCache>
                <c:formatCode>_("R$"* #,##0.00_);_("R$"* \(#,##0.00\);_("R$"* "-"??_);_(@_)</c:formatCode>
                <c:ptCount val="2"/>
                <c:pt idx="0">
                  <c:v>2824</c:v>
                </c:pt>
                <c:pt idx="1">
                  <c:v>747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2C-4DD0-B84D-7AA9DC08E3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96661440"/>
        <c:axId val="896665760"/>
      </c:barChart>
      <c:catAx>
        <c:axId val="896661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96665760"/>
        <c:crosses val="autoZero"/>
        <c:auto val="1"/>
        <c:lblAlgn val="ctr"/>
        <c:lblOffset val="100"/>
        <c:noMultiLvlLbl val="0"/>
      </c:catAx>
      <c:valAx>
        <c:axId val="896665760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96661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5" Type="http://schemas.openxmlformats.org/officeDocument/2006/relationships/image" Target="../media/image11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80841</xdr:colOff>
      <xdr:row>0</xdr:row>
      <xdr:rowOff>27214</xdr:rowOff>
    </xdr:from>
    <xdr:to>
      <xdr:col>2</xdr:col>
      <xdr:colOff>517871</xdr:colOff>
      <xdr:row>3</xdr:row>
      <xdr:rowOff>30546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630EA10-DDFB-4174-AD6F-CBB669F75E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26" t="16306" r="72773" b="18469"/>
        <a:stretch/>
      </xdr:blipFill>
      <xdr:spPr>
        <a:xfrm>
          <a:off x="1904198" y="27214"/>
          <a:ext cx="681959" cy="79254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</xdr:row>
      <xdr:rowOff>58851</xdr:rowOff>
    </xdr:from>
    <xdr:to>
      <xdr:col>0</xdr:col>
      <xdr:colOff>1782536</xdr:colOff>
      <xdr:row>20</xdr:row>
      <xdr:rowOff>134711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Subscription Type">
              <a:extLst>
                <a:ext uri="{FF2B5EF4-FFF2-40B4-BE49-F238E27FC236}">
                  <a16:creationId xmlns:a16="http://schemas.microsoft.com/office/drawing/2014/main" id="{F85F9B95-DC6C-4715-AA04-6997CB6877D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449501"/>
              <a:ext cx="1782536" cy="23523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23812</xdr:colOff>
      <xdr:row>6</xdr:row>
      <xdr:rowOff>61913</xdr:rowOff>
    </xdr:from>
    <xdr:to>
      <xdr:col>9</xdr:col>
      <xdr:colOff>428625</xdr:colOff>
      <xdr:row>15</xdr:row>
      <xdr:rowOff>126207</xdr:rowOff>
    </xdr:to>
    <xdr:grpSp>
      <xdr:nvGrpSpPr>
        <xdr:cNvPr id="19" name="Agrupar 18">
          <a:extLst>
            <a:ext uri="{FF2B5EF4-FFF2-40B4-BE49-F238E27FC236}">
              <a16:creationId xmlns:a16="http://schemas.microsoft.com/office/drawing/2014/main" id="{876A8D1C-2608-8C6C-89D4-BAA9C31F449C}"/>
            </a:ext>
          </a:extLst>
        </xdr:cNvPr>
        <xdr:cNvGrpSpPr/>
      </xdr:nvGrpSpPr>
      <xdr:grpSpPr>
        <a:xfrm>
          <a:off x="2095500" y="1193007"/>
          <a:ext cx="4655344" cy="1647825"/>
          <a:chOff x="2095500" y="1143000"/>
          <a:chExt cx="4655344" cy="1647825"/>
        </a:xfrm>
      </xdr:grpSpPr>
      <xdr:sp macro="" textlink="">
        <xdr:nvSpPr>
          <xdr:cNvPr id="15" name="Retângulo: Cantos Arredondados 14">
            <a:extLst>
              <a:ext uri="{FF2B5EF4-FFF2-40B4-BE49-F238E27FC236}">
                <a16:creationId xmlns:a16="http://schemas.microsoft.com/office/drawing/2014/main" id="{D7A77263-7404-111B-A806-E2CCC10DEAB3}"/>
              </a:ext>
            </a:extLst>
          </xdr:cNvPr>
          <xdr:cNvSpPr/>
        </xdr:nvSpPr>
        <xdr:spPr>
          <a:xfrm>
            <a:off x="2095500" y="1202531"/>
            <a:ext cx="4655344" cy="1512094"/>
          </a:xfrm>
          <a:prstGeom prst="roundRect">
            <a:avLst>
              <a:gd name="adj" fmla="val 4069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sp macro="" textlink="C̳álculos!E25">
        <xdr:nvSpPr>
          <xdr:cNvPr id="16" name="Retângulo: Cantos Arredondados 15">
            <a:extLst>
              <a:ext uri="{FF2B5EF4-FFF2-40B4-BE49-F238E27FC236}">
                <a16:creationId xmlns:a16="http://schemas.microsoft.com/office/drawing/2014/main" id="{61552D02-77C9-4CE7-8E23-3B04A00EEA4C}"/>
              </a:ext>
            </a:extLst>
          </xdr:cNvPr>
          <xdr:cNvSpPr/>
        </xdr:nvSpPr>
        <xdr:spPr>
          <a:xfrm>
            <a:off x="3283746" y="1674019"/>
            <a:ext cx="3026569" cy="942975"/>
          </a:xfrm>
          <a:prstGeom prst="roundRect">
            <a:avLst>
              <a:gd name="adj" fmla="val 4069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B013F77A-435A-4ABA-88A6-D9C44614F925}" type="TxLink">
              <a:rPr lang="en-US" sz="3600" b="0" i="0" u="none" strike="noStrike" kern="1200">
                <a:solidFill>
                  <a:srgbClr val="22C55E"/>
                </a:solidFill>
                <a:latin typeface="Aptos Narrow"/>
              </a:rPr>
              <a:pPr algn="ctr"/>
              <a:t> R$ 1.350,00 </a:t>
            </a:fld>
            <a:endParaRPr lang="pt-BR" sz="3600" kern="1200">
              <a:solidFill>
                <a:srgbClr val="22C55E"/>
              </a:solidFill>
            </a:endParaRPr>
          </a:p>
        </xdr:txBody>
      </xdr:sp>
      <xdr:pic>
        <xdr:nvPicPr>
          <xdr:cNvPr id="17" name="Imagem 16">
            <a:extLst>
              <a:ext uri="{FF2B5EF4-FFF2-40B4-BE49-F238E27FC236}">
                <a16:creationId xmlns:a16="http://schemas.microsoft.com/office/drawing/2014/main" id="{AB7C9170-0AF4-4EE1-A19A-9EDFF2BFE1C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250282" y="1571625"/>
            <a:ext cx="1219200" cy="1219200"/>
          </a:xfrm>
          <a:prstGeom prst="rect">
            <a:avLst/>
          </a:prstGeom>
        </xdr:spPr>
      </xdr:pic>
      <xdr:sp macro="" textlink="">
        <xdr:nvSpPr>
          <xdr:cNvPr id="18" name="Retângulo: Cantos Superiores Arredondados 17">
            <a:extLst>
              <a:ext uri="{FF2B5EF4-FFF2-40B4-BE49-F238E27FC236}">
                <a16:creationId xmlns:a16="http://schemas.microsoft.com/office/drawing/2014/main" id="{DC70A7EE-8E1F-F9B2-5965-FE23BFD36B53}"/>
              </a:ext>
            </a:extLst>
          </xdr:cNvPr>
          <xdr:cNvSpPr/>
        </xdr:nvSpPr>
        <xdr:spPr>
          <a:xfrm>
            <a:off x="2095500" y="1143000"/>
            <a:ext cx="4655344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EA PLAY SEASON PASS</a:t>
            </a:r>
          </a:p>
        </xdr:txBody>
      </xdr:sp>
    </xdr:grpSp>
    <xdr:clientData/>
  </xdr:twoCellAnchor>
  <xdr:twoCellAnchor>
    <xdr:from>
      <xdr:col>11</xdr:col>
      <xdr:colOff>104775</xdr:colOff>
      <xdr:row>6</xdr:row>
      <xdr:rowOff>61913</xdr:rowOff>
    </xdr:from>
    <xdr:to>
      <xdr:col>19</xdr:col>
      <xdr:colOff>69056</xdr:colOff>
      <xdr:row>15</xdr:row>
      <xdr:rowOff>50007</xdr:rowOff>
    </xdr:to>
    <xdr:grpSp>
      <xdr:nvGrpSpPr>
        <xdr:cNvPr id="20" name="Agrupar 19">
          <a:extLst>
            <a:ext uri="{FF2B5EF4-FFF2-40B4-BE49-F238E27FC236}">
              <a16:creationId xmlns:a16="http://schemas.microsoft.com/office/drawing/2014/main" id="{B5BD4B7E-5F14-40A5-8D91-242DE7C7B619}"/>
            </a:ext>
          </a:extLst>
        </xdr:cNvPr>
        <xdr:cNvGrpSpPr/>
      </xdr:nvGrpSpPr>
      <xdr:grpSpPr>
        <a:xfrm>
          <a:off x="7641431" y="1193007"/>
          <a:ext cx="4655344" cy="1571625"/>
          <a:chOff x="2095500" y="1143000"/>
          <a:chExt cx="4655344" cy="1571625"/>
        </a:xfrm>
      </xdr:grpSpPr>
      <xdr:sp macro="" textlink="">
        <xdr:nvSpPr>
          <xdr:cNvPr id="21" name="Retângulo: Cantos Arredondados 20">
            <a:extLst>
              <a:ext uri="{FF2B5EF4-FFF2-40B4-BE49-F238E27FC236}">
                <a16:creationId xmlns:a16="http://schemas.microsoft.com/office/drawing/2014/main" id="{A66F6E5F-021B-034F-BDBE-412F89DE8543}"/>
              </a:ext>
            </a:extLst>
          </xdr:cNvPr>
          <xdr:cNvSpPr/>
        </xdr:nvSpPr>
        <xdr:spPr>
          <a:xfrm>
            <a:off x="2095500" y="1202531"/>
            <a:ext cx="4655344" cy="1512094"/>
          </a:xfrm>
          <a:prstGeom prst="roundRect">
            <a:avLst>
              <a:gd name="adj" fmla="val 4069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sp macro="" textlink="C̳álculos!E36">
        <xdr:nvSpPr>
          <xdr:cNvPr id="22" name="Retângulo: Cantos Arredondados 21">
            <a:extLst>
              <a:ext uri="{FF2B5EF4-FFF2-40B4-BE49-F238E27FC236}">
                <a16:creationId xmlns:a16="http://schemas.microsoft.com/office/drawing/2014/main" id="{338342F4-73EE-962B-63B1-5B4F29A7A23B}"/>
              </a:ext>
            </a:extLst>
          </xdr:cNvPr>
          <xdr:cNvSpPr/>
        </xdr:nvSpPr>
        <xdr:spPr>
          <a:xfrm>
            <a:off x="3212308" y="1709738"/>
            <a:ext cx="3026569" cy="942975"/>
          </a:xfrm>
          <a:prstGeom prst="roundRect">
            <a:avLst>
              <a:gd name="adj" fmla="val 4069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E52E6073-EB91-45C9-81B2-5596C04756C0}" type="TxLink">
              <a:rPr lang="en-US" sz="3600" b="0" i="0" u="none" strike="noStrike" kern="1200">
                <a:solidFill>
                  <a:srgbClr val="22C55E"/>
                </a:solidFill>
                <a:latin typeface="Aptos Narrow"/>
              </a:rPr>
              <a:pPr algn="ctr"/>
              <a:t> R$ 1.800,00 </a:t>
            </a:fld>
            <a:endParaRPr lang="pt-BR" sz="3600" kern="1200">
              <a:solidFill>
                <a:srgbClr val="22C55E"/>
              </a:solidFill>
            </a:endParaRPr>
          </a:p>
        </xdr:txBody>
      </xdr:sp>
      <xdr:sp macro="" textlink="">
        <xdr:nvSpPr>
          <xdr:cNvPr id="24" name="Retângulo: Cantos Superiores Arredondados 23">
            <a:extLst>
              <a:ext uri="{FF2B5EF4-FFF2-40B4-BE49-F238E27FC236}">
                <a16:creationId xmlns:a16="http://schemas.microsoft.com/office/drawing/2014/main" id="{4A1F90DC-6777-6E0D-F6C7-E4153C25B868}"/>
              </a:ext>
            </a:extLst>
          </xdr:cNvPr>
          <xdr:cNvSpPr/>
        </xdr:nvSpPr>
        <xdr:spPr>
          <a:xfrm>
            <a:off x="2095500" y="1143000"/>
            <a:ext cx="4655344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WARZONE</a:t>
            </a:r>
            <a:r>
              <a:rPr lang="pt-BR" sz="1100" b="1" kern="1200" baseline="0">
                <a:latin typeface="Segoe UI" panose="020B0502040204020203" pitchFamily="34" charset="0"/>
                <a:cs typeface="Segoe UI" panose="020B0502040204020203" pitchFamily="34" charset="0"/>
              </a:rPr>
              <a:t> </a:t>
            </a:r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SEASON PASS</a:t>
            </a:r>
          </a:p>
        </xdr:txBody>
      </xdr:sp>
    </xdr:grpSp>
    <xdr:clientData/>
  </xdr:twoCellAnchor>
  <xdr:twoCellAnchor>
    <xdr:from>
      <xdr:col>2</xdr:col>
      <xdr:colOff>11906</xdr:colOff>
      <xdr:row>17</xdr:row>
      <xdr:rowOff>83344</xdr:rowOff>
    </xdr:from>
    <xdr:to>
      <xdr:col>19</xdr:col>
      <xdr:colOff>154781</xdr:colOff>
      <xdr:row>34</xdr:row>
      <xdr:rowOff>142875</xdr:rowOff>
    </xdr:to>
    <xdr:grpSp>
      <xdr:nvGrpSpPr>
        <xdr:cNvPr id="30" name="Agrupar 29">
          <a:extLst>
            <a:ext uri="{FF2B5EF4-FFF2-40B4-BE49-F238E27FC236}">
              <a16:creationId xmlns:a16="http://schemas.microsoft.com/office/drawing/2014/main" id="{08565BD9-58FC-B6E1-F4E6-6B45AE50E033}"/>
            </a:ext>
          </a:extLst>
        </xdr:cNvPr>
        <xdr:cNvGrpSpPr/>
      </xdr:nvGrpSpPr>
      <xdr:grpSpPr>
        <a:xfrm>
          <a:off x="2083594" y="3178969"/>
          <a:ext cx="10298906" cy="3298031"/>
          <a:chOff x="2083594" y="3178969"/>
          <a:chExt cx="10298906" cy="3298031"/>
        </a:xfrm>
      </xdr:grpSpPr>
      <xdr:grpSp>
        <xdr:nvGrpSpPr>
          <xdr:cNvPr id="14" name="Agrupar 13">
            <a:extLst>
              <a:ext uri="{FF2B5EF4-FFF2-40B4-BE49-F238E27FC236}">
                <a16:creationId xmlns:a16="http://schemas.microsoft.com/office/drawing/2014/main" id="{4D1F0864-A4F4-37F3-8029-1F495B27B0B8}"/>
              </a:ext>
            </a:extLst>
          </xdr:cNvPr>
          <xdr:cNvGrpSpPr/>
        </xdr:nvGrpSpPr>
        <xdr:grpSpPr>
          <a:xfrm>
            <a:off x="2095502" y="3178970"/>
            <a:ext cx="10275092" cy="3298030"/>
            <a:chOff x="2309814" y="1190625"/>
            <a:chExt cx="10275092" cy="2917032"/>
          </a:xfrm>
        </xdr:grpSpPr>
        <xdr:sp macro="" textlink="">
          <xdr:nvSpPr>
            <xdr:cNvPr id="8" name="Retângulo: Cantos Arredondados 7">
              <a:extLst>
                <a:ext uri="{FF2B5EF4-FFF2-40B4-BE49-F238E27FC236}">
                  <a16:creationId xmlns:a16="http://schemas.microsoft.com/office/drawing/2014/main" id="{BF010324-0D13-48F3-9FA9-6FF56F20097A}"/>
                </a:ext>
              </a:extLst>
            </xdr:cNvPr>
            <xdr:cNvSpPr/>
          </xdr:nvSpPr>
          <xdr:spPr>
            <a:xfrm>
              <a:off x="2309814" y="1190625"/>
              <a:ext cx="10275092" cy="2917032"/>
            </a:xfrm>
            <a:prstGeom prst="roundRect">
              <a:avLst>
                <a:gd name="adj" fmla="val 3606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graphicFrame macro="">
          <xdr:nvGraphicFramePr>
            <xdr:cNvPr id="6" name="Gráfico 5">
              <a:extLst>
                <a:ext uri="{FF2B5EF4-FFF2-40B4-BE49-F238E27FC236}">
                  <a16:creationId xmlns:a16="http://schemas.microsoft.com/office/drawing/2014/main" id="{948B9E40-7373-426B-8EB6-A1EB1F9493BA}"/>
                </a:ext>
              </a:extLst>
            </xdr:cNvPr>
            <xdr:cNvGraphicFramePr>
              <a:graphicFrameLocks/>
            </xdr:cNvGraphicFramePr>
          </xdr:nvGraphicFramePr>
          <xdr:xfrm>
            <a:off x="2483645" y="1345406"/>
            <a:ext cx="9886947" cy="270748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  <xdr:sp macro="" textlink="">
        <xdr:nvSpPr>
          <xdr:cNvPr id="29" name="Retângulo: Cantos Superiores Arredondados 28">
            <a:extLst>
              <a:ext uri="{FF2B5EF4-FFF2-40B4-BE49-F238E27FC236}">
                <a16:creationId xmlns:a16="http://schemas.microsoft.com/office/drawing/2014/main" id="{04E90C24-1EAF-4464-9E27-CA84E66E9AD4}"/>
              </a:ext>
            </a:extLst>
          </xdr:cNvPr>
          <xdr:cNvSpPr/>
        </xdr:nvSpPr>
        <xdr:spPr>
          <a:xfrm>
            <a:off x="2083594" y="3178969"/>
            <a:ext cx="10298906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XBOX</a:t>
            </a:r>
            <a:r>
              <a:rPr lang="pt-BR" sz="1100" b="1" kern="1200" baseline="0">
                <a:latin typeface="Segoe UI" panose="020B0502040204020203" pitchFamily="34" charset="0"/>
                <a:cs typeface="Segoe UI" panose="020B0502040204020203" pitchFamily="34" charset="0"/>
              </a:rPr>
              <a:t> GAME PASS</a:t>
            </a:r>
            <a:endParaRPr lang="pt-BR" sz="1100" b="1" kern="12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0</xdr:col>
      <xdr:colOff>393807</xdr:colOff>
      <xdr:row>1</xdr:row>
      <xdr:rowOff>0</xdr:rowOff>
    </xdr:from>
    <xdr:to>
      <xdr:col>0</xdr:col>
      <xdr:colOff>1114986</xdr:colOff>
      <xdr:row>4</xdr:row>
      <xdr:rowOff>13608</xdr:rowOff>
    </xdr:to>
    <xdr:sp macro="" textlink="">
      <xdr:nvSpPr>
        <xdr:cNvPr id="31" name="Elipse 30">
          <a:extLst>
            <a:ext uri="{FF2B5EF4-FFF2-40B4-BE49-F238E27FC236}">
              <a16:creationId xmlns:a16="http://schemas.microsoft.com/office/drawing/2014/main" id="{EC4DB9D8-18DD-49D2-B4D2-0B5AC081D94F}"/>
            </a:ext>
          </a:extLst>
        </xdr:cNvPr>
        <xdr:cNvSpPr/>
      </xdr:nvSpPr>
      <xdr:spPr>
        <a:xfrm>
          <a:off x="393807" y="190500"/>
          <a:ext cx="721179" cy="721179"/>
        </a:xfrm>
        <a:prstGeom prst="ellipse">
          <a:avLst/>
        </a:prstGeom>
        <a:blipFill>
          <a:blip xmlns:r="http://schemas.openxmlformats.org/officeDocument/2006/relationships" r:embed="rId4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109656</xdr:colOff>
      <xdr:row>5</xdr:row>
      <xdr:rowOff>16009</xdr:rowOff>
    </xdr:from>
    <xdr:to>
      <xdr:col>0</xdr:col>
      <xdr:colOff>1688085</xdr:colOff>
      <xdr:row>6</xdr:row>
      <xdr:rowOff>112059</xdr:rowOff>
    </xdr:to>
    <xdr:sp macro="" textlink="">
      <xdr:nvSpPr>
        <xdr:cNvPr id="32" name="Retângulo 31">
          <a:extLst>
            <a:ext uri="{FF2B5EF4-FFF2-40B4-BE49-F238E27FC236}">
              <a16:creationId xmlns:a16="http://schemas.microsoft.com/office/drawing/2014/main" id="{F5379FD9-A036-8872-5B5B-6762AA6D8744}"/>
            </a:ext>
          </a:extLst>
        </xdr:cNvPr>
        <xdr:cNvSpPr/>
      </xdr:nvSpPr>
      <xdr:spPr>
        <a:xfrm>
          <a:off x="109656" y="1009330"/>
          <a:ext cx="1578429" cy="23212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 kern="1200"/>
            <a:t>&gt; bem vinda, Liana</a:t>
          </a:r>
        </a:p>
      </xdr:txBody>
    </xdr:sp>
    <xdr:clientData/>
  </xdr:twoCellAnchor>
  <xdr:twoCellAnchor editAs="absolute">
    <xdr:from>
      <xdr:col>1</xdr:col>
      <xdr:colOff>223956</xdr:colOff>
      <xdr:row>2</xdr:row>
      <xdr:rowOff>228280</xdr:rowOff>
    </xdr:from>
    <xdr:to>
      <xdr:col>9</xdr:col>
      <xdr:colOff>314325</xdr:colOff>
      <xdr:row>5</xdr:row>
      <xdr:rowOff>10005</xdr:rowOff>
    </xdr:to>
    <xdr:sp macro="" textlink="">
      <xdr:nvSpPr>
        <xdr:cNvPr id="33" name="Retângulo 32">
          <a:extLst>
            <a:ext uri="{FF2B5EF4-FFF2-40B4-BE49-F238E27FC236}">
              <a16:creationId xmlns:a16="http://schemas.microsoft.com/office/drawing/2014/main" id="{FA5C664E-2699-4DBD-8F76-94B27D37C6C0}"/>
            </a:ext>
          </a:extLst>
        </xdr:cNvPr>
        <xdr:cNvSpPr/>
      </xdr:nvSpPr>
      <xdr:spPr>
        <a:xfrm>
          <a:off x="2052756" y="771205"/>
          <a:ext cx="4595694" cy="229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050" b="0" kern="1200">
              <a:solidFill>
                <a:schemeClr val="bg1">
                  <a:lumMod val="50000"/>
                </a:schemeClr>
              </a:solidFill>
            </a:rPr>
            <a:t>Calculation period: 01/01/2024 - 31/12/2024 | Update date: 25/12/2024 09:00:00</a:t>
          </a:r>
        </a:p>
      </xdr:txBody>
    </xdr:sp>
    <xdr:clientData/>
  </xdr:twoCellAnchor>
  <xdr:twoCellAnchor editAs="oneCell">
    <xdr:from>
      <xdr:col>11</xdr:col>
      <xdr:colOff>309561</xdr:colOff>
      <xdr:row>9</xdr:row>
      <xdr:rowOff>168932</xdr:rowOff>
    </xdr:from>
    <xdr:to>
      <xdr:col>13</xdr:col>
      <xdr:colOff>531018</xdr:colOff>
      <xdr:row>14</xdr:row>
      <xdr:rowOff>180976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115DADF-AA5A-1AFC-AE62-1C1756DA83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846217" y="1752463"/>
          <a:ext cx="1269207" cy="952638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lipe" refreshedDate="45650.439435069442" createdVersion="8" refreshedVersion="8" minRefreshableVersion="3" recordCount="295" xr:uid="{590B1258-CF1E-4807-8414-B70214B3D9F1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76595658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E17BE4-EBDD-4E6C-AABB-48C907DB6551}" name="Tabela dinâmica9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32:C36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1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005490-F2B6-45E1-A8C2-E59BAE3E3FBC}" name="tbl_easeasonpass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21:C25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1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786295-8353-4BE2-9C12-200F15B8EF15}" name="tbl_annual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11:C14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1" hier="-1"/>
  </pageFields>
  <dataFields count="1">
    <dataField name="Soma de Total Value" fld="12" baseField="0" baseItem="0" numFmtId="44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C1AC8210-3CE9-44E0-963C-9922D0D2DE4E}" sourceName="Subscription Type">
  <pivotTables>
    <pivotTable tabId="3" name="tbl_annual_total"/>
    <pivotTable tabId="3" name="tbl_easeasonpass_total"/>
    <pivotTable tabId="3" name="Tabela dinâmica9"/>
  </pivotTables>
  <data>
    <tabular pivotCacheId="1765956580">
      <items count="3">
        <i x="1"/>
        <i x="0" s="1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26A61517-A6D6-4A95-9864-F0B00789349A}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/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9" zoomScaleNormal="100" workbookViewId="0">
      <selection activeCell="E36" sqref="E36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E36" sqref="E36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315</v>
      </c>
      <c r="G1" s="9" t="s">
        <v>16</v>
      </c>
      <c r="H1" s="9" t="s">
        <v>312</v>
      </c>
      <c r="I1" s="9" t="s">
        <v>313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2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customHeight="1" x14ac:dyDescent="0.2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314</v>
      </c>
      <c r="J3" s="8" t="s">
        <v>23</v>
      </c>
      <c r="K3" s="11">
        <v>0</v>
      </c>
      <c r="L3" s="11">
        <v>0</v>
      </c>
      <c r="M3" s="11">
        <v>5</v>
      </c>
    </row>
    <row r="4" spans="1:13" ht="16.5" customHeight="1" x14ac:dyDescent="0.2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314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customHeight="1" x14ac:dyDescent="0.2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314</v>
      </c>
      <c r="J6" s="8" t="s">
        <v>23</v>
      </c>
      <c r="K6" s="11">
        <v>0</v>
      </c>
      <c r="L6" s="11">
        <v>1</v>
      </c>
      <c r="M6" s="11">
        <v>4</v>
      </c>
    </row>
    <row r="7" spans="1:13" ht="16.5" customHeight="1" x14ac:dyDescent="0.2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314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customHeight="1" x14ac:dyDescent="0.2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314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customHeight="1" x14ac:dyDescent="0.2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314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customHeight="1" x14ac:dyDescent="0.2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314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customHeight="1" x14ac:dyDescent="0.2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314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customHeight="1" x14ac:dyDescent="0.2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314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 x14ac:dyDescent="0.2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314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customHeight="1" x14ac:dyDescent="0.2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314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customHeight="1" x14ac:dyDescent="0.2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314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 x14ac:dyDescent="0.2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314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customHeight="1" x14ac:dyDescent="0.2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314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customHeight="1" x14ac:dyDescent="0.2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314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customHeight="1" x14ac:dyDescent="0.2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314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customHeight="1" x14ac:dyDescent="0.2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314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 x14ac:dyDescent="0.2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314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customHeight="1" x14ac:dyDescent="0.2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314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customHeight="1" x14ac:dyDescent="0.2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314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 x14ac:dyDescent="0.2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314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customHeight="1" x14ac:dyDescent="0.2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314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customHeight="1" x14ac:dyDescent="0.2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314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customHeight="1" x14ac:dyDescent="0.2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314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 x14ac:dyDescent="0.2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314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customHeight="1" x14ac:dyDescent="0.2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314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customHeight="1" x14ac:dyDescent="0.2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314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 x14ac:dyDescent="0.2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314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customHeight="1" x14ac:dyDescent="0.2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314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customHeight="1" x14ac:dyDescent="0.2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314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customHeight="1" x14ac:dyDescent="0.2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314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customHeight="1" x14ac:dyDescent="0.2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314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 x14ac:dyDescent="0.2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314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customHeight="1" x14ac:dyDescent="0.2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314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customHeight="1" x14ac:dyDescent="0.2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314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 x14ac:dyDescent="0.2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314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customHeight="1" x14ac:dyDescent="0.2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314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customHeight="1" x14ac:dyDescent="0.2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314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customHeight="1" x14ac:dyDescent="0.2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314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customHeight="1" x14ac:dyDescent="0.2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314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 x14ac:dyDescent="0.2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314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customHeight="1" x14ac:dyDescent="0.2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314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customHeight="1" x14ac:dyDescent="0.2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314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customHeight="1" x14ac:dyDescent="0.2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314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customHeight="1" x14ac:dyDescent="0.2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314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customHeight="1" x14ac:dyDescent="0.2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314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customHeight="1" x14ac:dyDescent="0.2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314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customHeight="1" x14ac:dyDescent="0.2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314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customHeight="1" x14ac:dyDescent="0.2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314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customHeight="1" x14ac:dyDescent="0.2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314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customHeight="1" x14ac:dyDescent="0.2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314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customHeight="1" x14ac:dyDescent="0.2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314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customHeight="1" x14ac:dyDescent="0.2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314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customHeight="1" x14ac:dyDescent="0.2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314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customHeight="1" x14ac:dyDescent="0.2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314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customHeight="1" x14ac:dyDescent="0.2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314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customHeight="1" x14ac:dyDescent="0.2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314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customHeight="1" x14ac:dyDescent="0.2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314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customHeight="1" x14ac:dyDescent="0.2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314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customHeight="1" x14ac:dyDescent="0.2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314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customHeight="1" x14ac:dyDescent="0.2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314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customHeight="1" x14ac:dyDescent="0.2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314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customHeight="1" x14ac:dyDescent="0.2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314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customHeight="1" x14ac:dyDescent="0.2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314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 x14ac:dyDescent="0.2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314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customHeight="1" x14ac:dyDescent="0.2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314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customHeight="1" x14ac:dyDescent="0.2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314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 x14ac:dyDescent="0.2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314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customHeight="1" x14ac:dyDescent="0.2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314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customHeight="1" x14ac:dyDescent="0.2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314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customHeight="1" x14ac:dyDescent="0.2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314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 x14ac:dyDescent="0.2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314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customHeight="1" x14ac:dyDescent="0.2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314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customHeight="1" x14ac:dyDescent="0.2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314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 x14ac:dyDescent="0.2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314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customHeight="1" x14ac:dyDescent="0.2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314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customHeight="1" x14ac:dyDescent="0.2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314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customHeight="1" x14ac:dyDescent="0.2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314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customHeight="1" x14ac:dyDescent="0.2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314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 x14ac:dyDescent="0.2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314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customHeight="1" x14ac:dyDescent="0.2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314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customHeight="1" x14ac:dyDescent="0.2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314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 x14ac:dyDescent="0.2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314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customHeight="1" x14ac:dyDescent="0.2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314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customHeight="1" x14ac:dyDescent="0.2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314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customHeight="1" x14ac:dyDescent="0.2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314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customHeight="1" x14ac:dyDescent="0.2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314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 x14ac:dyDescent="0.2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314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customHeight="1" x14ac:dyDescent="0.2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314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customHeight="1" x14ac:dyDescent="0.2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314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customHeight="1" x14ac:dyDescent="0.2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314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 x14ac:dyDescent="0.2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314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customHeight="1" x14ac:dyDescent="0.2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314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customHeight="1" x14ac:dyDescent="0.2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314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 x14ac:dyDescent="0.2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314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customHeight="1" x14ac:dyDescent="0.2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314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customHeight="1" x14ac:dyDescent="0.2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314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customHeight="1" x14ac:dyDescent="0.2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314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customHeight="1" x14ac:dyDescent="0.2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314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 x14ac:dyDescent="0.2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314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customHeight="1" x14ac:dyDescent="0.2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314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customHeight="1" x14ac:dyDescent="0.2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314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 x14ac:dyDescent="0.2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314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customHeight="1" x14ac:dyDescent="0.2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314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customHeight="1" x14ac:dyDescent="0.2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314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customHeight="1" x14ac:dyDescent="0.2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314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customHeight="1" x14ac:dyDescent="0.2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314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 x14ac:dyDescent="0.2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314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customHeight="1" x14ac:dyDescent="0.2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314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customHeight="1" x14ac:dyDescent="0.2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314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 x14ac:dyDescent="0.2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314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customHeight="1" x14ac:dyDescent="0.2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314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customHeight="1" x14ac:dyDescent="0.2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314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customHeight="1" x14ac:dyDescent="0.2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314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customHeight="1" x14ac:dyDescent="0.2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314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 x14ac:dyDescent="0.2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314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customHeight="1" x14ac:dyDescent="0.2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314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customHeight="1" x14ac:dyDescent="0.2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314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 x14ac:dyDescent="0.2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314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customHeight="1" x14ac:dyDescent="0.2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314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customHeight="1" x14ac:dyDescent="0.2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314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 x14ac:dyDescent="0.2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314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customHeight="1" x14ac:dyDescent="0.2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314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customHeight="1" x14ac:dyDescent="0.2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314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customHeight="1" x14ac:dyDescent="0.2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314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customHeight="1" x14ac:dyDescent="0.2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314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 x14ac:dyDescent="0.2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314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customHeight="1" x14ac:dyDescent="0.2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314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customHeight="1" x14ac:dyDescent="0.2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314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 x14ac:dyDescent="0.2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314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customHeight="1" x14ac:dyDescent="0.2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314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customHeight="1" x14ac:dyDescent="0.2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314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customHeight="1" x14ac:dyDescent="0.2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314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customHeight="1" x14ac:dyDescent="0.2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314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 x14ac:dyDescent="0.2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314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customHeight="1" x14ac:dyDescent="0.2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314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customHeight="1" x14ac:dyDescent="0.2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314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customHeight="1" x14ac:dyDescent="0.2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314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 x14ac:dyDescent="0.2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314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customHeight="1" x14ac:dyDescent="0.2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314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customHeight="1" x14ac:dyDescent="0.2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314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 x14ac:dyDescent="0.2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314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customHeight="1" x14ac:dyDescent="0.2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314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customHeight="1" x14ac:dyDescent="0.2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314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customHeight="1" x14ac:dyDescent="0.2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314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customHeight="1" x14ac:dyDescent="0.2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314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 x14ac:dyDescent="0.2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314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customHeight="1" x14ac:dyDescent="0.2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314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customHeight="1" x14ac:dyDescent="0.2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314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 x14ac:dyDescent="0.2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314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customHeight="1" x14ac:dyDescent="0.2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314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customHeight="1" x14ac:dyDescent="0.2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314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customHeight="1" x14ac:dyDescent="0.2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314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customHeight="1" x14ac:dyDescent="0.2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314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 x14ac:dyDescent="0.2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314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customHeight="1" x14ac:dyDescent="0.2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314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customHeight="1" x14ac:dyDescent="0.2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314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 x14ac:dyDescent="0.2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314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customHeight="1" x14ac:dyDescent="0.2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314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customHeight="1" x14ac:dyDescent="0.2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314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customHeight="1" x14ac:dyDescent="0.2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314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customHeight="1" x14ac:dyDescent="0.2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314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 x14ac:dyDescent="0.2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314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customHeight="1" x14ac:dyDescent="0.2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314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customHeight="1" x14ac:dyDescent="0.2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314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 x14ac:dyDescent="0.2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314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customHeight="1" x14ac:dyDescent="0.2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314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customHeight="1" x14ac:dyDescent="0.2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314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customHeight="1" x14ac:dyDescent="0.2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314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customHeight="1" x14ac:dyDescent="0.2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314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customHeight="1" x14ac:dyDescent="0.2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314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 x14ac:dyDescent="0.2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314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customHeight="1" x14ac:dyDescent="0.2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314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customHeight="1" x14ac:dyDescent="0.2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314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 x14ac:dyDescent="0.2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314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customHeight="1" x14ac:dyDescent="0.2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314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customHeight="1" x14ac:dyDescent="0.2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314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customHeight="1" x14ac:dyDescent="0.2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314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customHeight="1" x14ac:dyDescent="0.2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314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 x14ac:dyDescent="0.2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314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customHeight="1" x14ac:dyDescent="0.2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314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customHeight="1" x14ac:dyDescent="0.2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314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 x14ac:dyDescent="0.2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314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customHeight="1" x14ac:dyDescent="0.2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314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customHeight="1" x14ac:dyDescent="0.2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314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customHeight="1" x14ac:dyDescent="0.2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314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customHeight="1" x14ac:dyDescent="0.2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314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 x14ac:dyDescent="0.2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314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customHeight="1" x14ac:dyDescent="0.2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314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customHeight="1" x14ac:dyDescent="0.2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314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 x14ac:dyDescent="0.2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314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customHeight="1" x14ac:dyDescent="0.2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314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customHeight="1" x14ac:dyDescent="0.2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314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customHeight="1" x14ac:dyDescent="0.2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314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customHeight="1" x14ac:dyDescent="0.2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314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 x14ac:dyDescent="0.2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314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customHeight="1" x14ac:dyDescent="0.2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314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dimension ref="B3:F36"/>
  <sheetViews>
    <sheetView showGridLines="0" topLeftCell="A16" workbookViewId="0">
      <selection activeCell="E36" sqref="E36"/>
    </sheetView>
  </sheetViews>
  <sheetFormatPr defaultRowHeight="15" x14ac:dyDescent="0.25"/>
  <cols>
    <col min="2" max="2" width="18.42578125" bestFit="1" customWidth="1"/>
    <col min="3" max="3" width="35.140625" bestFit="1" customWidth="1"/>
    <col min="4" max="4" width="30.5703125" bestFit="1" customWidth="1"/>
    <col min="5" max="5" width="12.140625" bestFit="1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3" spans="2:6" x14ac:dyDescent="0.25">
      <c r="B3" s="19" t="s">
        <v>317</v>
      </c>
      <c r="C3" s="19"/>
      <c r="D3" s="19"/>
      <c r="E3" s="19"/>
      <c r="F3" s="19"/>
    </row>
    <row r="6" spans="2:6" x14ac:dyDescent="0.25">
      <c r="B6" t="s">
        <v>318</v>
      </c>
    </row>
    <row r="7" spans="2:6" x14ac:dyDescent="0.25">
      <c r="B7" t="s">
        <v>320</v>
      </c>
    </row>
    <row r="9" spans="2:6" x14ac:dyDescent="0.25">
      <c r="B9" s="12" t="s">
        <v>16</v>
      </c>
      <c r="C9" t="s">
        <v>20</v>
      </c>
    </row>
    <row r="11" spans="2:6" x14ac:dyDescent="0.25">
      <c r="B11" s="12" t="s">
        <v>309</v>
      </c>
      <c r="C11" t="s">
        <v>319</v>
      </c>
    </row>
    <row r="12" spans="2:6" x14ac:dyDescent="0.25">
      <c r="B12" s="14" t="s">
        <v>23</v>
      </c>
      <c r="C12" s="13">
        <v>2824</v>
      </c>
    </row>
    <row r="13" spans="2:6" x14ac:dyDescent="0.25">
      <c r="B13" s="14" t="s">
        <v>19</v>
      </c>
      <c r="C13" s="13">
        <v>747</v>
      </c>
    </row>
    <row r="14" spans="2:6" x14ac:dyDescent="0.25">
      <c r="B14" s="14" t="s">
        <v>310</v>
      </c>
      <c r="C14" s="13">
        <v>3571</v>
      </c>
    </row>
    <row r="17" spans="2:5" x14ac:dyDescent="0.25">
      <c r="B17" s="14" t="s">
        <v>321</v>
      </c>
    </row>
    <row r="19" spans="2:5" x14ac:dyDescent="0.25">
      <c r="B19" s="12" t="s">
        <v>16</v>
      </c>
      <c r="C19" t="s">
        <v>20</v>
      </c>
    </row>
    <row r="21" spans="2:5" x14ac:dyDescent="0.25">
      <c r="B21" s="12" t="s">
        <v>309</v>
      </c>
      <c r="C21" t="s">
        <v>316</v>
      </c>
    </row>
    <row r="22" spans="2:5" x14ac:dyDescent="0.25">
      <c r="B22" s="14" t="s">
        <v>22</v>
      </c>
      <c r="C22" s="20">
        <v>0</v>
      </c>
    </row>
    <row r="23" spans="2:5" x14ac:dyDescent="0.25">
      <c r="B23" s="14" t="s">
        <v>26</v>
      </c>
      <c r="C23" s="20">
        <v>0</v>
      </c>
    </row>
    <row r="24" spans="2:5" x14ac:dyDescent="0.25">
      <c r="B24" s="14" t="s">
        <v>18</v>
      </c>
      <c r="C24" s="20">
        <v>1350</v>
      </c>
    </row>
    <row r="25" spans="2:5" x14ac:dyDescent="0.25">
      <c r="B25" s="14" t="s">
        <v>310</v>
      </c>
      <c r="C25" s="20">
        <v>1350</v>
      </c>
      <c r="E25" s="16">
        <f>GETPIVOTDATA("EA Play Season Pass
Price",$B$21)</f>
        <v>1350</v>
      </c>
    </row>
    <row r="28" spans="2:5" x14ac:dyDescent="0.25">
      <c r="B28" s="14" t="s">
        <v>322</v>
      </c>
    </row>
    <row r="30" spans="2:5" x14ac:dyDescent="0.25">
      <c r="B30" s="12" t="s">
        <v>16</v>
      </c>
      <c r="C30" t="s">
        <v>20</v>
      </c>
    </row>
    <row r="32" spans="2:5" x14ac:dyDescent="0.25">
      <c r="B32" s="12" t="s">
        <v>309</v>
      </c>
      <c r="C32" t="s">
        <v>311</v>
      </c>
    </row>
    <row r="33" spans="2:5" x14ac:dyDescent="0.25">
      <c r="B33" s="14" t="s">
        <v>22</v>
      </c>
      <c r="C33" s="13">
        <v>0</v>
      </c>
    </row>
    <row r="34" spans="2:5" x14ac:dyDescent="0.25">
      <c r="B34" s="14" t="s">
        <v>26</v>
      </c>
      <c r="C34" s="13">
        <v>900</v>
      </c>
    </row>
    <row r="35" spans="2:5" x14ac:dyDescent="0.25">
      <c r="B35" s="14" t="s">
        <v>18</v>
      </c>
      <c r="C35" s="13">
        <v>900</v>
      </c>
    </row>
    <row r="36" spans="2:5" x14ac:dyDescent="0.25">
      <c r="B36" s="14" t="s">
        <v>310</v>
      </c>
      <c r="C36" s="13">
        <v>1800</v>
      </c>
      <c r="E36" s="16">
        <f>GETPIVOTDATA("Minecraft Season Pass Price",$B$32)</f>
        <v>1800</v>
      </c>
    </row>
  </sheetData>
  <mergeCells count="1">
    <mergeCell ref="B3:F3"/>
  </mergeCells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S136"/>
  <sheetViews>
    <sheetView showGridLines="0" showRowColHeaders="0" tabSelected="1" zoomScale="80" zoomScaleNormal="80" workbookViewId="0"/>
  </sheetViews>
  <sheetFormatPr defaultRowHeight="15" x14ac:dyDescent="0.25"/>
  <cols>
    <col min="1" max="1" width="27.42578125" style="4" customWidth="1"/>
    <col min="2" max="2" width="3.5703125" customWidth="1"/>
    <col min="12" max="12" width="6.5703125" customWidth="1"/>
  </cols>
  <sheetData>
    <row r="2" spans="1:19" ht="27.75" customHeight="1" thickBot="1" x14ac:dyDescent="0.5">
      <c r="C2" s="18" t="s">
        <v>323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7"/>
      <c r="S2" s="17"/>
    </row>
    <row r="3" spans="1:19" ht="19.5" customHeight="1" thickTop="1" x14ac:dyDescent="0.25"/>
    <row r="4" spans="1:19" s="7" customFormat="1" ht="8.25" customHeight="1" x14ac:dyDescent="0.25">
      <c r="A4" s="4"/>
    </row>
    <row r="5" spans="1:19" s="7" customFormat="1" ht="7.5" customHeight="1" x14ac:dyDescent="0.25">
      <c r="A5" s="4"/>
    </row>
    <row r="6" spans="1:19" s="7" customFormat="1" ht="10.5" customHeight="1" x14ac:dyDescent="0.25">
      <c r="A6" s="4"/>
    </row>
    <row r="7" spans="1:19" s="7" customFormat="1" ht="9.75" customHeight="1" x14ac:dyDescent="0.25">
      <c r="A7" s="4"/>
    </row>
    <row r="8" spans="1:19" s="7" customFormat="1" ht="11.25" customHeight="1" x14ac:dyDescent="0.25">
      <c r="A8" s="4"/>
    </row>
    <row r="9" spans="1:19" s="7" customFormat="1" x14ac:dyDescent="0.25">
      <c r="A9" s="4"/>
    </row>
    <row r="10" spans="1:19" s="7" customFormat="1" x14ac:dyDescent="0.25">
      <c r="A10" s="4"/>
    </row>
    <row r="11" spans="1:19" s="7" customFormat="1" ht="14.25" customHeight="1" x14ac:dyDescent="0.25">
      <c r="A11" s="4"/>
    </row>
    <row r="12" spans="1:19" s="7" customFormat="1" x14ac:dyDescent="0.25">
      <c r="A12" s="4"/>
    </row>
    <row r="13" spans="1:19" s="7" customFormat="1" x14ac:dyDescent="0.25">
      <c r="A13" s="4"/>
    </row>
    <row r="14" spans="1:19" s="7" customFormat="1" x14ac:dyDescent="0.25">
      <c r="A14" s="4"/>
    </row>
    <row r="15" spans="1:19" s="7" customFormat="1" x14ac:dyDescent="0.25">
      <c r="A15" s="4"/>
    </row>
    <row r="16" spans="1:19" s="7" customFormat="1" x14ac:dyDescent="0.25">
      <c r="A16" s="4"/>
    </row>
    <row r="17" spans="1:1" s="7" customFormat="1" x14ac:dyDescent="0.25">
      <c r="A17" s="4"/>
    </row>
    <row r="18" spans="1:1" s="7" customFormat="1" x14ac:dyDescent="0.25">
      <c r="A18" s="4"/>
    </row>
    <row r="19" spans="1:1" s="7" customFormat="1" x14ac:dyDescent="0.25">
      <c r="A19" s="4"/>
    </row>
    <row r="20" spans="1:1" s="7" customFormat="1" x14ac:dyDescent="0.25">
      <c r="A20" s="4"/>
    </row>
    <row r="21" spans="1:1" s="7" customFormat="1" x14ac:dyDescent="0.25">
      <c r="A21" s="4"/>
    </row>
    <row r="22" spans="1:1" s="7" customFormat="1" x14ac:dyDescent="0.25">
      <c r="A22" s="4"/>
    </row>
    <row r="23" spans="1:1" s="7" customFormat="1" x14ac:dyDescent="0.25">
      <c r="A23" s="4"/>
    </row>
    <row r="24" spans="1:1" s="7" customFormat="1" x14ac:dyDescent="0.25">
      <c r="A24" s="4"/>
    </row>
    <row r="25" spans="1:1" s="7" customFormat="1" x14ac:dyDescent="0.25">
      <c r="A25" s="4"/>
    </row>
    <row r="26" spans="1:1" s="7" customFormat="1" x14ac:dyDescent="0.25">
      <c r="A26" s="4"/>
    </row>
    <row r="27" spans="1:1" s="7" customFormat="1" x14ac:dyDescent="0.25">
      <c r="A27" s="4"/>
    </row>
    <row r="28" spans="1:1" s="7" customFormat="1" x14ac:dyDescent="0.25">
      <c r="A28" s="4"/>
    </row>
    <row r="29" spans="1:1" s="7" customFormat="1" x14ac:dyDescent="0.25">
      <c r="A29" s="4"/>
    </row>
    <row r="30" spans="1:1" s="7" customFormat="1" x14ac:dyDescent="0.25">
      <c r="A30" s="4"/>
    </row>
    <row r="31" spans="1:1" s="7" customFormat="1" x14ac:dyDescent="0.25">
      <c r="A31" s="4"/>
    </row>
    <row r="32" spans="1:1" s="7" customFormat="1" x14ac:dyDescent="0.25">
      <c r="A32" s="4"/>
    </row>
    <row r="33" spans="1:1" s="7" customFormat="1" x14ac:dyDescent="0.25">
      <c r="A33" s="4"/>
    </row>
    <row r="34" spans="1:1" s="7" customFormat="1" x14ac:dyDescent="0.25">
      <c r="A34" s="4"/>
    </row>
    <row r="35" spans="1:1" s="7" customFormat="1" x14ac:dyDescent="0.25">
      <c r="A35" s="4"/>
    </row>
    <row r="36" spans="1:1" s="7" customFormat="1" x14ac:dyDescent="0.25">
      <c r="A36" s="4"/>
    </row>
    <row r="37" spans="1:1" s="7" customFormat="1" x14ac:dyDescent="0.25">
      <c r="A37" s="4"/>
    </row>
    <row r="38" spans="1:1" s="7" customFormat="1" x14ac:dyDescent="0.25">
      <c r="A38" s="4"/>
    </row>
    <row r="39" spans="1:1" s="7" customFormat="1" x14ac:dyDescent="0.25">
      <c r="A39" s="4"/>
    </row>
    <row r="40" spans="1:1" s="7" customFormat="1" x14ac:dyDescent="0.25">
      <c r="A40" s="4"/>
    </row>
    <row r="41" spans="1:1" s="7" customFormat="1" x14ac:dyDescent="0.25">
      <c r="A41" s="4"/>
    </row>
    <row r="42" spans="1:1" s="7" customFormat="1" x14ac:dyDescent="0.25">
      <c r="A42" s="4"/>
    </row>
    <row r="43" spans="1:1" s="7" customFormat="1" x14ac:dyDescent="0.25">
      <c r="A43" s="4"/>
    </row>
    <row r="44" spans="1:1" s="7" customFormat="1" x14ac:dyDescent="0.25">
      <c r="A44" s="4"/>
    </row>
    <row r="45" spans="1:1" s="7" customFormat="1" x14ac:dyDescent="0.25">
      <c r="A45" s="4"/>
    </row>
    <row r="46" spans="1:1" s="7" customFormat="1" x14ac:dyDescent="0.25">
      <c r="A46" s="4"/>
    </row>
    <row r="47" spans="1:1" s="7" customFormat="1" x14ac:dyDescent="0.25">
      <c r="A47" s="4"/>
    </row>
    <row r="48" spans="1:1" s="7" customFormat="1" x14ac:dyDescent="0.25">
      <c r="A48" s="4"/>
    </row>
    <row r="49" spans="1:1" s="7" customFormat="1" x14ac:dyDescent="0.25">
      <c r="A49" s="4"/>
    </row>
    <row r="50" spans="1:1" s="7" customFormat="1" x14ac:dyDescent="0.25">
      <c r="A50" s="4"/>
    </row>
    <row r="51" spans="1:1" s="7" customFormat="1" x14ac:dyDescent="0.25">
      <c r="A51" s="4"/>
    </row>
    <row r="52" spans="1:1" s="7" customFormat="1" x14ac:dyDescent="0.25">
      <c r="A52" s="4"/>
    </row>
    <row r="53" spans="1:1" s="7" customFormat="1" x14ac:dyDescent="0.25">
      <c r="A53" s="4"/>
    </row>
    <row r="54" spans="1:1" s="7" customFormat="1" x14ac:dyDescent="0.25">
      <c r="A54" s="4"/>
    </row>
    <row r="55" spans="1:1" s="7" customFormat="1" x14ac:dyDescent="0.25">
      <c r="A55" s="4"/>
    </row>
    <row r="56" spans="1:1" s="7" customFormat="1" x14ac:dyDescent="0.25">
      <c r="A56" s="4"/>
    </row>
    <row r="57" spans="1:1" s="7" customFormat="1" x14ac:dyDescent="0.25">
      <c r="A57" s="4"/>
    </row>
    <row r="58" spans="1:1" s="7" customFormat="1" x14ac:dyDescent="0.25">
      <c r="A58" s="4"/>
    </row>
    <row r="59" spans="1:1" s="7" customFormat="1" x14ac:dyDescent="0.25">
      <c r="A59" s="4"/>
    </row>
    <row r="60" spans="1:1" s="7" customFormat="1" x14ac:dyDescent="0.25">
      <c r="A60" s="4"/>
    </row>
    <row r="61" spans="1:1" s="7" customFormat="1" x14ac:dyDescent="0.25">
      <c r="A61" s="4"/>
    </row>
    <row r="62" spans="1:1" s="7" customFormat="1" x14ac:dyDescent="0.25">
      <c r="A62" s="4"/>
    </row>
    <row r="63" spans="1:1" s="7" customFormat="1" x14ac:dyDescent="0.25">
      <c r="A63" s="4"/>
    </row>
    <row r="64" spans="1:1" s="7" customFormat="1" x14ac:dyDescent="0.25">
      <c r="A64" s="4"/>
    </row>
    <row r="65" spans="1:1" s="7" customFormat="1" x14ac:dyDescent="0.25">
      <c r="A65" s="4"/>
    </row>
    <row r="66" spans="1:1" s="7" customFormat="1" x14ac:dyDescent="0.25">
      <c r="A66" s="4"/>
    </row>
    <row r="67" spans="1:1" s="7" customFormat="1" x14ac:dyDescent="0.25">
      <c r="A67" s="4"/>
    </row>
    <row r="68" spans="1:1" s="7" customFormat="1" x14ac:dyDescent="0.25">
      <c r="A68" s="4"/>
    </row>
    <row r="69" spans="1:1" s="7" customFormat="1" x14ac:dyDescent="0.25">
      <c r="A69" s="4"/>
    </row>
    <row r="70" spans="1:1" s="7" customFormat="1" x14ac:dyDescent="0.25">
      <c r="A70" s="4"/>
    </row>
    <row r="71" spans="1:1" s="7" customFormat="1" x14ac:dyDescent="0.25">
      <c r="A71" s="4"/>
    </row>
    <row r="72" spans="1:1" s="7" customFormat="1" x14ac:dyDescent="0.25">
      <c r="A72" s="4"/>
    </row>
    <row r="73" spans="1:1" s="7" customFormat="1" x14ac:dyDescent="0.25">
      <c r="A73" s="4"/>
    </row>
    <row r="74" spans="1:1" s="7" customFormat="1" x14ac:dyDescent="0.25">
      <c r="A74" s="4"/>
    </row>
    <row r="75" spans="1:1" s="7" customFormat="1" x14ac:dyDescent="0.25">
      <c r="A75" s="4"/>
    </row>
    <row r="76" spans="1:1" s="7" customFormat="1" x14ac:dyDescent="0.25">
      <c r="A76" s="4"/>
    </row>
    <row r="77" spans="1:1" s="7" customFormat="1" x14ac:dyDescent="0.25">
      <c r="A77" s="4"/>
    </row>
    <row r="78" spans="1:1" s="7" customFormat="1" x14ac:dyDescent="0.25">
      <c r="A78" s="4"/>
    </row>
    <row r="79" spans="1:1" s="7" customFormat="1" x14ac:dyDescent="0.25">
      <c r="A79" s="4"/>
    </row>
    <row r="80" spans="1:1" s="7" customFormat="1" x14ac:dyDescent="0.25">
      <c r="A80" s="4"/>
    </row>
    <row r="81" spans="1:1" s="7" customFormat="1" x14ac:dyDescent="0.25">
      <c r="A81" s="4"/>
    </row>
    <row r="82" spans="1:1" s="7" customFormat="1" x14ac:dyDescent="0.25">
      <c r="A82" s="4"/>
    </row>
    <row r="83" spans="1:1" s="7" customFormat="1" x14ac:dyDescent="0.25">
      <c r="A83" s="4"/>
    </row>
    <row r="84" spans="1:1" s="7" customFormat="1" x14ac:dyDescent="0.25">
      <c r="A84" s="4"/>
    </row>
    <row r="85" spans="1:1" s="7" customFormat="1" x14ac:dyDescent="0.25">
      <c r="A85" s="4"/>
    </row>
    <row r="86" spans="1:1" s="7" customFormat="1" x14ac:dyDescent="0.25">
      <c r="A86" s="4"/>
    </row>
    <row r="87" spans="1:1" s="7" customFormat="1" x14ac:dyDescent="0.25">
      <c r="A87" s="4"/>
    </row>
    <row r="88" spans="1:1" s="7" customFormat="1" x14ac:dyDescent="0.25">
      <c r="A88" s="4"/>
    </row>
    <row r="89" spans="1:1" s="7" customFormat="1" x14ac:dyDescent="0.25">
      <c r="A89" s="4"/>
    </row>
    <row r="90" spans="1:1" s="7" customFormat="1" x14ac:dyDescent="0.25">
      <c r="A90" s="4"/>
    </row>
    <row r="91" spans="1:1" s="7" customFormat="1" x14ac:dyDescent="0.25">
      <c r="A91" s="4"/>
    </row>
    <row r="92" spans="1:1" s="7" customFormat="1" x14ac:dyDescent="0.25">
      <c r="A92" s="4"/>
    </row>
    <row r="93" spans="1:1" s="7" customFormat="1" x14ac:dyDescent="0.25">
      <c r="A93" s="4"/>
    </row>
    <row r="94" spans="1:1" s="7" customFormat="1" x14ac:dyDescent="0.25">
      <c r="A94" s="4"/>
    </row>
    <row r="95" spans="1:1" s="7" customFormat="1" x14ac:dyDescent="0.25">
      <c r="A95" s="4"/>
    </row>
    <row r="96" spans="1:1" s="7" customFormat="1" x14ac:dyDescent="0.25">
      <c r="A96" s="4"/>
    </row>
    <row r="97" spans="1:1" s="7" customFormat="1" x14ac:dyDescent="0.25">
      <c r="A97" s="4"/>
    </row>
    <row r="98" spans="1:1" s="7" customFormat="1" x14ac:dyDescent="0.25">
      <c r="A98" s="4"/>
    </row>
    <row r="99" spans="1:1" s="7" customFormat="1" x14ac:dyDescent="0.25">
      <c r="A99" s="4"/>
    </row>
    <row r="100" spans="1:1" s="7" customFormat="1" x14ac:dyDescent="0.25">
      <c r="A100" s="4"/>
    </row>
    <row r="101" spans="1:1" s="7" customFormat="1" x14ac:dyDescent="0.25">
      <c r="A101" s="4"/>
    </row>
    <row r="102" spans="1:1" s="7" customFormat="1" x14ac:dyDescent="0.25">
      <c r="A102" s="4"/>
    </row>
    <row r="103" spans="1:1" s="7" customFormat="1" x14ac:dyDescent="0.25">
      <c r="A103" s="4"/>
    </row>
    <row r="104" spans="1:1" s="7" customFormat="1" x14ac:dyDescent="0.25">
      <c r="A104" s="4"/>
    </row>
    <row r="105" spans="1:1" s="7" customFormat="1" x14ac:dyDescent="0.25">
      <c r="A105" s="4"/>
    </row>
    <row r="106" spans="1:1" s="7" customFormat="1" x14ac:dyDescent="0.25">
      <c r="A106" s="4"/>
    </row>
    <row r="107" spans="1:1" s="7" customFormat="1" x14ac:dyDescent="0.25">
      <c r="A107" s="4"/>
    </row>
    <row r="108" spans="1:1" s="7" customFormat="1" x14ac:dyDescent="0.25">
      <c r="A108" s="4"/>
    </row>
    <row r="109" spans="1:1" s="7" customFormat="1" x14ac:dyDescent="0.25">
      <c r="A109" s="4"/>
    </row>
    <row r="110" spans="1:1" s="7" customFormat="1" x14ac:dyDescent="0.25">
      <c r="A110" s="4"/>
    </row>
    <row r="111" spans="1:1" s="7" customFormat="1" x14ac:dyDescent="0.25">
      <c r="A111" s="4"/>
    </row>
    <row r="112" spans="1:1" s="7" customFormat="1" x14ac:dyDescent="0.25">
      <c r="A112" s="4"/>
    </row>
    <row r="113" spans="1:1" s="7" customFormat="1" x14ac:dyDescent="0.25">
      <c r="A113" s="4"/>
    </row>
    <row r="114" spans="1:1" s="7" customFormat="1" x14ac:dyDescent="0.25">
      <c r="A114" s="4"/>
    </row>
    <row r="115" spans="1:1" s="7" customFormat="1" x14ac:dyDescent="0.25">
      <c r="A115" s="4"/>
    </row>
    <row r="116" spans="1:1" s="7" customFormat="1" x14ac:dyDescent="0.25">
      <c r="A116" s="4"/>
    </row>
    <row r="117" spans="1:1" s="7" customFormat="1" x14ac:dyDescent="0.25">
      <c r="A117" s="4"/>
    </row>
    <row r="118" spans="1:1" s="7" customFormat="1" x14ac:dyDescent="0.25">
      <c r="A118" s="4"/>
    </row>
    <row r="119" spans="1:1" s="7" customFormat="1" x14ac:dyDescent="0.25">
      <c r="A119" s="4"/>
    </row>
    <row r="120" spans="1:1" s="7" customFormat="1" x14ac:dyDescent="0.25">
      <c r="A120" s="4"/>
    </row>
    <row r="121" spans="1:1" s="7" customFormat="1" x14ac:dyDescent="0.25">
      <c r="A121" s="4"/>
    </row>
    <row r="122" spans="1:1" s="7" customFormat="1" x14ac:dyDescent="0.25">
      <c r="A122" s="4"/>
    </row>
    <row r="123" spans="1:1" s="7" customFormat="1" x14ac:dyDescent="0.25">
      <c r="A123" s="4"/>
    </row>
    <row r="124" spans="1:1" s="7" customFormat="1" x14ac:dyDescent="0.25">
      <c r="A124" s="4"/>
    </row>
    <row r="125" spans="1:1" s="7" customFormat="1" x14ac:dyDescent="0.25">
      <c r="A125" s="4"/>
    </row>
    <row r="126" spans="1:1" s="7" customFormat="1" x14ac:dyDescent="0.25">
      <c r="A126" s="4"/>
    </row>
    <row r="127" spans="1:1" s="7" customFormat="1" x14ac:dyDescent="0.25">
      <c r="A127" s="4"/>
    </row>
    <row r="128" spans="1:1" s="7" customFormat="1" x14ac:dyDescent="0.25">
      <c r="A128" s="4"/>
    </row>
    <row r="129" spans="1:1" s="7" customFormat="1" x14ac:dyDescent="0.25">
      <c r="A129" s="4"/>
    </row>
    <row r="130" spans="1:1" s="7" customFormat="1" x14ac:dyDescent="0.25">
      <c r="A130" s="4"/>
    </row>
    <row r="131" spans="1:1" s="7" customFormat="1" x14ac:dyDescent="0.25">
      <c r="A131" s="4"/>
    </row>
    <row r="132" spans="1:1" s="7" customFormat="1" x14ac:dyDescent="0.25">
      <c r="A132" s="4"/>
    </row>
    <row r="133" spans="1:1" s="7" customFormat="1" x14ac:dyDescent="0.25">
      <c r="A133" s="4"/>
    </row>
    <row r="134" spans="1:1" s="7" customFormat="1" x14ac:dyDescent="0.25">
      <c r="A134" s="4"/>
    </row>
    <row r="135" spans="1:1" s="7" customFormat="1" x14ac:dyDescent="0.25">
      <c r="A135" s="4"/>
    </row>
    <row r="136" spans="1:1" s="7" customFormat="1" x14ac:dyDescent="0.25">
      <c r="A136" s="4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6A6278B-0476-46CE-815A-3F41F43711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99037E4-A6E4-45D3-B93A-3D2B6A0C2B33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3.xml><?xml version="1.0" encoding="utf-8"?>
<ds:datastoreItem xmlns:ds="http://schemas.openxmlformats.org/officeDocument/2006/customXml" ds:itemID="{B26109AA-4A63-4ABA-9238-1315B3F7EEA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Fh Vieira</cp:lastModifiedBy>
  <dcterms:created xsi:type="dcterms:W3CDTF">2024-12-19T13:13:10Z</dcterms:created>
  <dcterms:modified xsi:type="dcterms:W3CDTF">2026-01-12T15:30:21Z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